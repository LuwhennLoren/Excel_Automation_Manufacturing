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ren\Documents\PW\Excel\ExcelAutomation_Manufacturing\"/>
    </mc:Choice>
  </mc:AlternateContent>
  <xr:revisionPtr revIDLastSave="0" documentId="13_ncr:1_{4064CD7F-32CB-41CA-8AA8-76D1672CBDC9}" xr6:coauthVersionLast="47" xr6:coauthVersionMax="47" xr10:uidLastSave="{00000000-0000-0000-0000-000000000000}"/>
  <bookViews>
    <workbookView xWindow="-108" yWindow="-108" windowWidth="23256" windowHeight="12456" activeTab="2" xr2:uid="{CF1F9C23-DD0B-4FF0-8996-AAC84836F294}"/>
  </bookViews>
  <sheets>
    <sheet name="Raw_Data" sheetId="1" r:id="rId1"/>
    <sheet name="Lookup" sheetId="2" r:id="rId2"/>
    <sheet name="Analysis" sheetId="3" r:id="rId3"/>
    <sheet name="Clean_Data" sheetId="4" r:id="rId4"/>
  </sheets>
  <definedNames>
    <definedName name="ExternalData_1" localSheetId="3" hidden="1">Clean_Data!$A$1:$J$21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4" l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L2" i="4"/>
  <c r="M2" i="4" s="1"/>
  <c r="L3" i="4"/>
  <c r="M3" i="4" s="1"/>
  <c r="L4" i="4"/>
  <c r="M4" i="4" s="1"/>
  <c r="L5" i="4"/>
  <c r="M5" i="4" s="1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N2" i="4"/>
  <c r="N3" i="4"/>
  <c r="N4" i="4"/>
  <c r="N5" i="4"/>
  <c r="N6" i="4"/>
  <c r="N7" i="4"/>
  <c r="O7" i="4" s="1"/>
  <c r="N8" i="4"/>
  <c r="O8" i="4" s="1"/>
  <c r="N9" i="4"/>
  <c r="O9" i="4" s="1"/>
  <c r="N10" i="4"/>
  <c r="O10" i="4" s="1"/>
  <c r="N11" i="4"/>
  <c r="O11" i="4" s="1"/>
  <c r="N12" i="4"/>
  <c r="O12" i="4" s="1"/>
  <c r="N13" i="4"/>
  <c r="O13" i="4" s="1"/>
  <c r="N14" i="4"/>
  <c r="O14" i="4" s="1"/>
  <c r="N15" i="4"/>
  <c r="O15" i="4" s="1"/>
  <c r="N16" i="4"/>
  <c r="O16" i="4" s="1"/>
  <c r="N17" i="4"/>
  <c r="O17" i="4" s="1"/>
  <c r="N18" i="4"/>
  <c r="O18" i="4" s="1"/>
  <c r="N19" i="4"/>
  <c r="O19" i="4" s="1"/>
  <c r="N20" i="4"/>
  <c r="O20" i="4" s="1"/>
  <c r="N21" i="4"/>
  <c r="O21" i="4" s="1"/>
  <c r="O2" i="4"/>
  <c r="O3" i="4"/>
  <c r="O4" i="4"/>
  <c r="O5" i="4"/>
  <c r="O6" i="4"/>
  <c r="P2" i="4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Q2" i="4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G4" i="3"/>
  <c r="D9" i="3"/>
  <c r="D7" i="3"/>
  <c r="D6" i="3"/>
  <c r="D5" i="3"/>
  <c r="D4" i="3"/>
  <c r="D16" i="3" l="1"/>
  <c r="D17" i="3"/>
  <c r="D18" i="3"/>
  <c r="H14" i="3"/>
  <c r="H15" i="3"/>
  <c r="D8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6F4B401-F011-402D-88DB-F04BAE8F44F0}" keepAlive="1" name="Query - Clean_ProductionData" description="Connection to the 'Clean_ProductionData' query in the workbook." type="5" refreshedVersion="8" background="1" saveData="1">
    <dbPr connection="Provider=Microsoft.Mashup.OleDb.1;Data Source=$Workbook$;Location=Clean_ProductionData;Extended Properties=&quot;&quot;" command="SELECT * FROM [Clean_ProductionData]"/>
  </connection>
</connections>
</file>

<file path=xl/sharedStrings.xml><?xml version="1.0" encoding="utf-8"?>
<sst xmlns="http://schemas.openxmlformats.org/spreadsheetml/2006/main" count="254" uniqueCount="63">
  <si>
    <t>Date</t>
  </si>
  <si>
    <t>Production Line</t>
  </si>
  <si>
    <t>Product</t>
  </si>
  <si>
    <t>Shift</t>
  </si>
  <si>
    <t>Units Produced</t>
  </si>
  <si>
    <t>Defective Units</t>
  </si>
  <si>
    <t>Downtime Minutes</t>
  </si>
  <si>
    <t>Operator</t>
  </si>
  <si>
    <t>Machine ID</t>
  </si>
  <si>
    <t>Line 1</t>
  </si>
  <si>
    <t>Sensor A</t>
  </si>
  <si>
    <t>Morning</t>
  </si>
  <si>
    <t>Juan</t>
  </si>
  <si>
    <t>MCH-001</t>
  </si>
  <si>
    <t>line 1</t>
  </si>
  <si>
    <t>AM</t>
  </si>
  <si>
    <t>Maria</t>
  </si>
  <si>
    <t>LINE 01</t>
  </si>
  <si>
    <t>sensor a</t>
  </si>
  <si>
    <t>morning</t>
  </si>
  <si>
    <t>L1</t>
  </si>
  <si>
    <t>Anna</t>
  </si>
  <si>
    <t>Line 2</t>
  </si>
  <si>
    <t>Controller B</t>
  </si>
  <si>
    <t>Afternoon</t>
  </si>
  <si>
    <t>Pedro</t>
  </si>
  <si>
    <t>MCH-002</t>
  </si>
  <si>
    <t>line 2</t>
  </si>
  <si>
    <t>controller b</t>
  </si>
  <si>
    <t>PM</t>
  </si>
  <si>
    <t>Liza</t>
  </si>
  <si>
    <t>LINE 02</t>
  </si>
  <si>
    <t>Night</t>
  </si>
  <si>
    <t>L2</t>
  </si>
  <si>
    <t>SENSOR A</t>
  </si>
  <si>
    <t>Production ID</t>
  </si>
  <si>
    <t>Product Category</t>
  </si>
  <si>
    <t>Sensor</t>
  </si>
  <si>
    <t>Controller</t>
  </si>
  <si>
    <t>Standard Units</t>
  </si>
  <si>
    <t>Production Status</t>
  </si>
  <si>
    <t>Defect Rate</t>
  </si>
  <si>
    <t>Yield Rate</t>
  </si>
  <si>
    <t>Average Defect Rate</t>
  </si>
  <si>
    <t>Average Downtime</t>
  </si>
  <si>
    <t>Target Defect Rate</t>
  </si>
  <si>
    <t>Quality Status</t>
  </si>
  <si>
    <t>MANUFACTURING PRODUCTION ANALYSIS</t>
  </si>
  <si>
    <t>Key Performance Metrics</t>
  </si>
  <si>
    <t>Average Production</t>
  </si>
  <si>
    <t>Median Production</t>
  </si>
  <si>
    <t>Production Std. Deviation</t>
  </si>
  <si>
    <t>Average Yield Rate</t>
  </si>
  <si>
    <t>Good</t>
  </si>
  <si>
    <t>Needs Monitoring</t>
  </si>
  <si>
    <t>Low Production</t>
  </si>
  <si>
    <t>Within Target</t>
  </si>
  <si>
    <t>Above Target</t>
  </si>
  <si>
    <t>Downtime VS. Production</t>
  </si>
  <si>
    <t>Correlation</t>
  </si>
  <si>
    <t>Insight</t>
  </si>
  <si>
    <t>Count</t>
  </si>
  <si>
    <t>The data shows a negative correlation
between downtime and units produced,
suggesting that higher downtime tends
to coexist with lower production.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</si>
</sst>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b/>
      <sz val="16"/>
      <color theme="7" tint="-0.249977111117893"/>
      <name val="Aptos Narrow"/>
      <family val="2"/>
      <scheme val="minor"/>
    </font>
    <font>
      <b/>
      <sz val="16"/>
      <color theme="3" tint="0.249977111117893"/>
      <name val="Aptos Narrow"/>
      <family val="2"/>
      <scheme val="minor"/>
    </font>
    <font>
      <b/>
      <sz val="10"/>
      <color theme="8" tint="-0.249977111117893"/>
      <name val="Arial Unicode MS"/>
    </font>
    <font>
      <b/>
      <sz val="11"/>
      <color theme="8" tint="-0.24997711111789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3" fontId="0" fillId="0" borderId="0" xfId="0" applyNumberFormat="1"/>
    <xf numFmtId="0" fontId="0" fillId="0" borderId="0" xfId="0" applyNumberFormat="1"/>
    <xf numFmtId="10" fontId="0" fillId="0" borderId="0" xfId="0" applyNumberFormat="1"/>
    <xf numFmtId="0" fontId="2" fillId="0" borderId="0" xfId="0" applyFont="1" applyAlignment="1">
      <alignment vertical="center"/>
    </xf>
    <xf numFmtId="0" fontId="1" fillId="0" borderId="0" xfId="0" applyFont="1"/>
    <xf numFmtId="0" fontId="3" fillId="0" borderId="0" xfId="0" applyFont="1"/>
    <xf numFmtId="0" fontId="0" fillId="0" borderId="0" xfId="0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5" xfId="0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10" fontId="0" fillId="0" borderId="5" xfId="0" applyNumberFormat="1" applyBorder="1"/>
    <xf numFmtId="0" fontId="0" fillId="0" borderId="8" xfId="0" applyBorder="1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15"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4" formatCode="0.00%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 sz="1400" b="0" i="0" u="none" strike="noStrike" baseline="0">
                <a:solidFill>
                  <a:schemeClr val="accent5">
                    <a:lumMod val="75000"/>
                  </a:schemeClr>
                </a:solidFill>
              </a:rPr>
              <a:t>Production Status Distribution</a:t>
            </a:r>
            <a:endParaRPr lang="en-PH">
              <a:solidFill>
                <a:schemeClr val="accent5">
                  <a:lumMod val="7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Analysis!$D$15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Analysis!$C$16:$C$18</c:f>
              <c:strCache>
                <c:ptCount val="3"/>
                <c:pt idx="0">
                  <c:v>Good</c:v>
                </c:pt>
                <c:pt idx="1">
                  <c:v>Needs Monitoring</c:v>
                </c:pt>
                <c:pt idx="2">
                  <c:v>Low Production</c:v>
                </c:pt>
              </c:strCache>
            </c:strRef>
          </c:cat>
          <c:val>
            <c:numRef>
              <c:f>Analysis!$D$16:$D$18</c:f>
              <c:numCache>
                <c:formatCode>General</c:formatCode>
                <c:ptCount val="3"/>
                <c:pt idx="0">
                  <c:v>15</c:v>
                </c:pt>
                <c:pt idx="1">
                  <c:v>5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A0-4544-88F9-5B514DBEBD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13503"/>
        <c:axId val="1209235183"/>
      </c:barChart>
      <c:catAx>
        <c:axId val="17613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235183"/>
        <c:crosses val="autoZero"/>
        <c:auto val="1"/>
        <c:lblAlgn val="ctr"/>
        <c:lblOffset val="100"/>
        <c:noMultiLvlLbl val="0"/>
      </c:catAx>
      <c:valAx>
        <c:axId val="1209235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13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>
                <a:solidFill>
                  <a:schemeClr val="accent5">
                    <a:lumMod val="75000"/>
                  </a:schemeClr>
                </a:solidFill>
              </a:rPr>
              <a:t>Quality</a:t>
            </a:r>
            <a:r>
              <a:rPr lang="en-PH" baseline="0">
                <a:solidFill>
                  <a:schemeClr val="accent5">
                    <a:lumMod val="75000"/>
                  </a:schemeClr>
                </a:solidFill>
              </a:rPr>
              <a:t> Status</a:t>
            </a:r>
            <a:endParaRPr lang="en-PH">
              <a:solidFill>
                <a:schemeClr val="accent5">
                  <a:lumMod val="7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Analysis!$G$13:$G$15</c:f>
              <c:strCache>
                <c:ptCount val="3"/>
                <c:pt idx="0">
                  <c:v>Quality Status</c:v>
                </c:pt>
                <c:pt idx="1">
                  <c:v>Within Target</c:v>
                </c:pt>
                <c:pt idx="2">
                  <c:v>Above Target</c:v>
                </c:pt>
              </c:strCache>
            </c:strRef>
          </c:cat>
          <c:val>
            <c:numRef>
              <c:f>Analysis!$H$13:$H$15</c:f>
              <c:numCache>
                <c:formatCode>General</c:formatCode>
                <c:ptCount val="3"/>
                <c:pt idx="1">
                  <c:v>18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02-4620-BB4D-D64136335DA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952500</xdr:colOff>
      <xdr:row>9</xdr:row>
      <xdr:rowOff>175260</xdr:rowOff>
    </xdr:from>
    <xdr:to>
      <xdr:col>4</xdr:col>
      <xdr:colOff>121920</xdr:colOff>
      <xdr:row>20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F406BD-DA83-88B9-3512-023E5895A3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541020</xdr:colOff>
      <xdr:row>10</xdr:row>
      <xdr:rowOff>7620</xdr:rowOff>
    </xdr:from>
    <xdr:to>
      <xdr:col>10</xdr:col>
      <xdr:colOff>76200</xdr:colOff>
      <xdr:row>21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EB7BD04-1D1E-1806-D76B-CF1791B24C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5E9B076-5D75-4A4D-85D9-43B91BB63B98}" autoFormatId="16" applyNumberFormats="0" applyBorderFormats="0" applyFontFormats="0" applyPatternFormats="0" applyAlignmentFormats="0" applyWidthHeightFormats="0">
  <queryTableRefresh nextId="18" unboundColumnsRight="7">
    <queryTableFields count="17">
      <queryTableField id="1" name="Date" tableColumnId="1"/>
      <queryTableField id="2" name="Production Line" tableColumnId="2"/>
      <queryTableField id="3" name="Product" tableColumnId="3"/>
      <queryTableField id="4" name="Shift" tableColumnId="4"/>
      <queryTableField id="5" name="Units Produced" tableColumnId="5"/>
      <queryTableField id="6" name="Defective Units" tableColumnId="6"/>
      <queryTableField id="7" name="Downtime Minutes" tableColumnId="7"/>
      <queryTableField id="8" name="Operator" tableColumnId="8"/>
      <queryTableField id="9" name="Machine ID" tableColumnId="9"/>
      <queryTableField id="10" name="Production ID" tableColumnId="10"/>
      <queryTableField id="11" dataBound="0" tableColumnId="11"/>
      <queryTableField id="12" dataBound="0" tableColumnId="12"/>
      <queryTableField id="13" dataBound="0" tableColumnId="13"/>
      <queryTableField id="14" dataBound="0" tableColumnId="14"/>
      <queryTableField id="15" dataBound="0" tableColumnId="15"/>
      <queryTableField id="16" dataBound="0" tableColumnId="16"/>
      <queryTableField id="17" dataBound="0" tableColumnId="17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05103C-83D0-4D58-A10D-B528BA6EA00F}" name="ProductionData" displayName="ProductionData" ref="A1:I21" totalsRowShown="0">
  <autoFilter ref="A1:I21" xr:uid="{2B05103C-83D0-4D58-A10D-B528BA6EA00F}"/>
  <tableColumns count="9">
    <tableColumn id="1" xr3:uid="{0CAB2F0A-B0A7-4E27-B233-243E16E88B27}" name="Date" dataDxfId="14"/>
    <tableColumn id="2" xr3:uid="{F97F16D9-E1DF-4BC2-8B1C-9352D796D8EB}" name="Production Line"/>
    <tableColumn id="3" xr3:uid="{CF956FFC-90B3-44C9-BEB9-5DDA8B6AD087}" name="Product"/>
    <tableColumn id="4" xr3:uid="{ADC76ECF-A064-4F2A-8069-F1A1B11421FE}" name="Shift"/>
    <tableColumn id="5" xr3:uid="{CB248C91-1DD8-41A1-8B62-BEA8AF21A3C3}" name="Units Produced"/>
    <tableColumn id="6" xr3:uid="{A6036C4A-40D7-4CD3-9D77-EC9EEE2E2981}" name="Defective Units"/>
    <tableColumn id="7" xr3:uid="{0B839893-0FDC-45FD-B46A-2C406A870431}" name="Downtime Minutes"/>
    <tableColumn id="8" xr3:uid="{98C0DF64-C2A6-4240-90D1-B65FE71CFF88}" name="Operator"/>
    <tableColumn id="9" xr3:uid="{180E4C9A-C776-40A2-919B-C1BE2D2054C7}" name="Machine I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401A730-1561-40EB-8EAA-0347BCD1EBAD}" name="ProductLookup" displayName="ProductLookup" ref="A1:D3" totalsRowShown="0">
  <autoFilter ref="A1:D3" xr:uid="{5401A730-1561-40EB-8EAA-0347BCD1EBAD}"/>
  <tableColumns count="4">
    <tableColumn id="1" xr3:uid="{2238F93A-CC9F-4615-97AD-6D5583DEEE61}" name="Product"/>
    <tableColumn id="2" xr3:uid="{E408719A-7160-4A9F-8BEE-ED1DEFACD672}" name="Product Category"/>
    <tableColumn id="3" xr3:uid="{18E93B86-1772-43A1-A957-4DAF6A33FE37}" name="Standard Units"/>
    <tableColumn id="4" xr3:uid="{B94E83E0-9D4F-4ED8-8BED-0A07344148D6}" name="Target Defect Rate" dataDxfId="1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0BCF812-D750-468F-8A4C-EF8AA2E521F3}" name="Clean_ProductionData" displayName="Clean_ProductionData" ref="A1:Q21" tableType="queryTable" totalsRowShown="0">
  <autoFilter ref="A1:Q21" xr:uid="{70BCF812-D750-468F-8A4C-EF8AA2E521F3}"/>
  <tableColumns count="17">
    <tableColumn id="1" xr3:uid="{D638A265-8D33-4708-91D5-7BBA7D08D347}" uniqueName="1" name="Date" queryTableFieldId="1" dataDxfId="11"/>
    <tableColumn id="2" xr3:uid="{CF54076A-FC27-466F-87F0-BE8142F79D2C}" uniqueName="2" name="Production Line" queryTableFieldId="2" dataDxfId="10"/>
    <tableColumn id="3" xr3:uid="{653C2007-8D5F-4F5B-8BDE-1490AC88F83A}" uniqueName="3" name="Product" queryTableFieldId="3" dataDxfId="9"/>
    <tableColumn id="4" xr3:uid="{E889F6C4-3477-4DE3-B669-3D4A207E1A03}" uniqueName="4" name="Shift" queryTableFieldId="4" dataDxfId="8"/>
    <tableColumn id="5" xr3:uid="{AFCB81BC-215B-4351-A438-D3BBE754D74D}" uniqueName="5" name="Units Produced" queryTableFieldId="5"/>
    <tableColumn id="6" xr3:uid="{61B1DE32-F7D1-422A-A98D-A51DE8B207CE}" uniqueName="6" name="Defective Units" queryTableFieldId="6"/>
    <tableColumn id="7" xr3:uid="{085AA185-B06B-4BB6-92F4-F025ED306C95}" uniqueName="7" name="Downtime Minutes" queryTableFieldId="7"/>
    <tableColumn id="8" xr3:uid="{DE88B8DA-0D19-4D22-9FFA-8BF5AF9E5487}" uniqueName="8" name="Operator" queryTableFieldId="8" dataDxfId="7"/>
    <tableColumn id="9" xr3:uid="{AAE25F17-430D-4710-90E7-6F7666F0C159}" uniqueName="9" name="Machine ID" queryTableFieldId="9" dataDxfId="6"/>
    <tableColumn id="10" xr3:uid="{307587C3-A39A-4B80-9A96-D9507BD4A5FF}" uniqueName="10" name="Production ID" queryTableFieldId="10"/>
    <tableColumn id="11" xr3:uid="{6D3A91A5-7418-44A3-8420-7506C5FBA805}" uniqueName="11" name="Product Category" queryTableFieldId="11" dataDxfId="13">
      <calculatedColumnFormula>_xlfn.XLOOKUP(Clean_ProductionData[[#This Row],[Product]],ProductLookup[Product],ProductLookup[Product Category],"Unknown")</calculatedColumnFormula>
    </tableColumn>
    <tableColumn id="12" xr3:uid="{37ADAB3E-8C10-4F96-BDDA-8885E53647AB}" uniqueName="12" name="Standard Units" queryTableFieldId="12" dataDxfId="5">
      <calculatedColumnFormula>_xlfn.XLOOKUP(Clean_ProductionData[[#This Row],[Product]], ProductLookup[Product], ProductLookup[Standard Units], 0)</calculatedColumnFormula>
    </tableColumn>
    <tableColumn id="13" xr3:uid="{42F1C016-21CE-4FAC-A718-FF328E63E043}" uniqueName="13" name="Production Status" queryTableFieldId="13" dataDxfId="4">
      <calculatedColumnFormula>IF(Clean_ProductionData[[#This Row],[Units Produced]]&gt;=Clean_ProductionData[[#This Row],[Standard Units]],"Good",IF(Clean_ProductionData[[#This Row],[Units Produced]]&gt;=Clean_ProductionData[[#This Row],[Standard Units]]*0.9,"Needs Monitoring","Low Production"))</calculatedColumnFormula>
    </tableColumn>
    <tableColumn id="14" xr3:uid="{AE82B785-76EE-4A02-B025-708BB370081B}" uniqueName="14" name="Defect Rate" queryTableFieldId="14" dataDxfId="3">
      <calculatedColumnFormula>Clean_ProductionData[[#This Row],[Defective Units]]/Clean_ProductionData[[#This Row],[Units Produced]]</calculatedColumnFormula>
    </tableColumn>
    <tableColumn id="15" xr3:uid="{1BB30975-14A0-4C70-9187-699CEE47B8DC}" uniqueName="15" name="Yield Rate" queryTableFieldId="15" dataDxfId="2">
      <calculatedColumnFormula>1-Clean_ProductionData[[#This Row],[Defect Rate]]</calculatedColumnFormula>
    </tableColumn>
    <tableColumn id="16" xr3:uid="{D9F8E433-65C5-4F49-861D-78B4B99F9519}" uniqueName="16" name="Target Defect Rate" queryTableFieldId="16" dataDxfId="1">
      <calculatedColumnFormula>_xlfn.XLOOKUP(Clean_ProductionData[[#This Row],[Product]],ProductLookup[Product],ProductLookup[Target Defect Rate],0)</calculatedColumnFormula>
    </tableColumn>
    <tableColumn id="17" xr3:uid="{EB2C5B28-9924-43AE-84E3-D87D5DD8B608}" uniqueName="17" name="Quality Status" queryTableFieldId="17" dataDxfId="0">
      <calculatedColumnFormula>IF(Clean_ProductionData[[#This Row],[Defect Rate]]&lt;=Clean_ProductionData[[#This Row],[Target Defect Rate]],"Within Target","Above Target")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A3132-327F-4611-9EE9-51FD2752B38E}">
  <dimension ref="A1:I21"/>
  <sheetViews>
    <sheetView workbookViewId="0">
      <selection activeCell="B2" sqref="B2"/>
    </sheetView>
  </sheetViews>
  <sheetFormatPr defaultRowHeight="14.4"/>
  <cols>
    <col min="2" max="2" width="15.77734375" customWidth="1"/>
    <col min="3" max="3" width="9.44140625" customWidth="1"/>
    <col min="5" max="5" width="15.5546875" customWidth="1"/>
    <col min="6" max="6" width="15.44140625" customWidth="1"/>
    <col min="7" max="7" width="18.21875" customWidth="1"/>
    <col min="8" max="8" width="10.33203125" customWidth="1"/>
    <col min="9" max="9" width="12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>
        <v>46266</v>
      </c>
      <c r="B2" t="s">
        <v>17</v>
      </c>
      <c r="C2" t="s">
        <v>10</v>
      </c>
      <c r="D2" t="s">
        <v>11</v>
      </c>
      <c r="E2">
        <v>1000</v>
      </c>
      <c r="F2">
        <v>20</v>
      </c>
      <c r="G2">
        <v>15</v>
      </c>
      <c r="H2" t="s">
        <v>12</v>
      </c>
      <c r="I2" t="s">
        <v>13</v>
      </c>
    </row>
    <row r="3" spans="1:9">
      <c r="A3" s="1">
        <v>46266</v>
      </c>
      <c r="B3" t="s">
        <v>14</v>
      </c>
      <c r="C3" t="s">
        <v>10</v>
      </c>
      <c r="D3" t="s">
        <v>15</v>
      </c>
      <c r="E3">
        <v>950</v>
      </c>
      <c r="F3">
        <v>15</v>
      </c>
      <c r="G3">
        <v>10</v>
      </c>
      <c r="H3" t="s">
        <v>16</v>
      </c>
      <c r="I3" t="s">
        <v>13</v>
      </c>
    </row>
    <row r="4" spans="1:9">
      <c r="A4" s="1">
        <v>46266</v>
      </c>
      <c r="B4" t="s">
        <v>17</v>
      </c>
      <c r="C4" t="s">
        <v>18</v>
      </c>
      <c r="D4" t="s">
        <v>19</v>
      </c>
      <c r="E4">
        <v>1020</v>
      </c>
      <c r="F4">
        <v>18</v>
      </c>
      <c r="G4">
        <v>12</v>
      </c>
      <c r="H4" t="s">
        <v>12</v>
      </c>
      <c r="I4" t="s">
        <v>13</v>
      </c>
    </row>
    <row r="5" spans="1:9">
      <c r="A5" s="1">
        <v>46266</v>
      </c>
      <c r="B5" t="s">
        <v>20</v>
      </c>
      <c r="C5" t="s">
        <v>10</v>
      </c>
      <c r="D5" t="s">
        <v>11</v>
      </c>
      <c r="E5">
        <v>980</v>
      </c>
      <c r="F5">
        <v>25</v>
      </c>
      <c r="G5">
        <v>20</v>
      </c>
      <c r="H5" t="s">
        <v>21</v>
      </c>
      <c r="I5" t="s">
        <v>13</v>
      </c>
    </row>
    <row r="6" spans="1:9">
      <c r="A6" s="1">
        <v>46266</v>
      </c>
      <c r="B6" t="s">
        <v>22</v>
      </c>
      <c r="C6" t="s">
        <v>23</v>
      </c>
      <c r="D6" t="s">
        <v>24</v>
      </c>
      <c r="E6">
        <v>850</v>
      </c>
      <c r="F6">
        <v>10</v>
      </c>
      <c r="G6">
        <v>30</v>
      </c>
      <c r="H6" t="s">
        <v>25</v>
      </c>
      <c r="I6" t="s">
        <v>26</v>
      </c>
    </row>
    <row r="7" spans="1:9">
      <c r="A7" s="1">
        <v>46266</v>
      </c>
      <c r="B7" t="s">
        <v>27</v>
      </c>
      <c r="C7" t="s">
        <v>28</v>
      </c>
      <c r="D7" t="s">
        <v>29</v>
      </c>
      <c r="E7">
        <v>900</v>
      </c>
      <c r="F7">
        <v>12</v>
      </c>
      <c r="G7">
        <v>25</v>
      </c>
      <c r="H7" t="s">
        <v>30</v>
      </c>
      <c r="I7" t="s">
        <v>26</v>
      </c>
    </row>
    <row r="8" spans="1:9">
      <c r="A8" s="1">
        <v>46266</v>
      </c>
      <c r="B8" t="s">
        <v>31</v>
      </c>
      <c r="C8" t="s">
        <v>23</v>
      </c>
      <c r="D8" t="s">
        <v>24</v>
      </c>
      <c r="E8">
        <v>875</v>
      </c>
      <c r="F8">
        <v>8</v>
      </c>
      <c r="G8">
        <v>18</v>
      </c>
      <c r="H8" t="s">
        <v>25</v>
      </c>
      <c r="I8" t="s">
        <v>26</v>
      </c>
    </row>
    <row r="9" spans="1:9">
      <c r="A9" s="1">
        <v>46267</v>
      </c>
      <c r="B9" t="s">
        <v>9</v>
      </c>
      <c r="C9" t="s">
        <v>10</v>
      </c>
      <c r="D9" t="s">
        <v>32</v>
      </c>
      <c r="E9">
        <v>1100</v>
      </c>
      <c r="F9">
        <v>22</v>
      </c>
      <c r="G9">
        <v>8</v>
      </c>
      <c r="H9" t="s">
        <v>12</v>
      </c>
      <c r="I9" t="s">
        <v>13</v>
      </c>
    </row>
    <row r="10" spans="1:9">
      <c r="A10" s="1">
        <v>46267</v>
      </c>
      <c r="B10" t="s">
        <v>20</v>
      </c>
      <c r="C10" t="s">
        <v>10</v>
      </c>
      <c r="D10" t="s">
        <v>32</v>
      </c>
      <c r="E10">
        <v>1080</v>
      </c>
      <c r="F10">
        <v>20</v>
      </c>
      <c r="G10">
        <v>12</v>
      </c>
      <c r="H10" t="s">
        <v>16</v>
      </c>
      <c r="I10" t="s">
        <v>13</v>
      </c>
    </row>
    <row r="11" spans="1:9">
      <c r="A11" s="1">
        <v>46267</v>
      </c>
      <c r="B11" t="s">
        <v>17</v>
      </c>
      <c r="C11" t="s">
        <v>18</v>
      </c>
      <c r="D11" t="s">
        <v>32</v>
      </c>
      <c r="E11" s="2">
        <v>1050</v>
      </c>
      <c r="F11">
        <v>19</v>
      </c>
      <c r="G11">
        <v>10</v>
      </c>
      <c r="H11" t="s">
        <v>21</v>
      </c>
      <c r="I11" t="s">
        <v>13</v>
      </c>
    </row>
    <row r="12" spans="1:9">
      <c r="A12" s="1">
        <v>46267</v>
      </c>
      <c r="B12" t="s">
        <v>22</v>
      </c>
      <c r="C12" t="s">
        <v>23</v>
      </c>
      <c r="D12" t="s">
        <v>11</v>
      </c>
      <c r="E12">
        <v>920</v>
      </c>
      <c r="F12">
        <v>15</v>
      </c>
      <c r="G12">
        <v>35</v>
      </c>
      <c r="H12" t="s">
        <v>25</v>
      </c>
      <c r="I12" t="s">
        <v>26</v>
      </c>
    </row>
    <row r="13" spans="1:9">
      <c r="A13" s="1">
        <v>46267</v>
      </c>
      <c r="B13" t="s">
        <v>27</v>
      </c>
      <c r="C13" t="s">
        <v>23</v>
      </c>
      <c r="D13" t="s">
        <v>15</v>
      </c>
      <c r="E13">
        <v>890</v>
      </c>
      <c r="F13">
        <v>11</v>
      </c>
      <c r="G13">
        <v>28</v>
      </c>
      <c r="H13" t="s">
        <v>30</v>
      </c>
      <c r="I13" t="s">
        <v>26</v>
      </c>
    </row>
    <row r="14" spans="1:9">
      <c r="A14" s="1">
        <v>46267</v>
      </c>
      <c r="B14" t="s">
        <v>33</v>
      </c>
      <c r="C14" t="s">
        <v>28</v>
      </c>
      <c r="D14" t="s">
        <v>11</v>
      </c>
      <c r="E14">
        <v>905</v>
      </c>
      <c r="F14">
        <v>13</v>
      </c>
      <c r="G14">
        <v>30</v>
      </c>
      <c r="H14" t="s">
        <v>25</v>
      </c>
      <c r="I14" t="s">
        <v>26</v>
      </c>
    </row>
    <row r="15" spans="1:9">
      <c r="A15" s="1">
        <v>46268</v>
      </c>
      <c r="B15" t="s">
        <v>9</v>
      </c>
      <c r="C15" t="s">
        <v>10</v>
      </c>
      <c r="D15" t="s">
        <v>11</v>
      </c>
      <c r="E15">
        <v>1150</v>
      </c>
      <c r="F15">
        <v>17</v>
      </c>
      <c r="G15">
        <v>5</v>
      </c>
      <c r="H15" t="s">
        <v>12</v>
      </c>
      <c r="I15" t="s">
        <v>13</v>
      </c>
    </row>
    <row r="16" spans="1:9">
      <c r="A16" s="1">
        <v>46268</v>
      </c>
      <c r="B16" t="s">
        <v>14</v>
      </c>
      <c r="C16" t="s">
        <v>10</v>
      </c>
      <c r="D16" t="s">
        <v>15</v>
      </c>
      <c r="E16">
        <v>1120</v>
      </c>
      <c r="F16">
        <v>16</v>
      </c>
      <c r="G16">
        <v>7</v>
      </c>
      <c r="H16" t="s">
        <v>16</v>
      </c>
      <c r="I16" t="s">
        <v>13</v>
      </c>
    </row>
    <row r="17" spans="1:9">
      <c r="A17" s="1">
        <v>46268</v>
      </c>
      <c r="B17" t="s">
        <v>17</v>
      </c>
      <c r="C17" t="s">
        <v>34</v>
      </c>
      <c r="D17" t="s">
        <v>11</v>
      </c>
      <c r="E17" s="2">
        <v>1100</v>
      </c>
      <c r="F17">
        <v>21</v>
      </c>
      <c r="G17">
        <v>9</v>
      </c>
      <c r="H17" t="s">
        <v>21</v>
      </c>
      <c r="I17" t="s">
        <v>13</v>
      </c>
    </row>
    <row r="18" spans="1:9">
      <c r="A18" s="1">
        <v>46268</v>
      </c>
      <c r="B18" t="s">
        <v>20</v>
      </c>
      <c r="C18" t="s">
        <v>10</v>
      </c>
      <c r="D18" t="s">
        <v>11</v>
      </c>
      <c r="E18">
        <v>1140</v>
      </c>
      <c r="F18">
        <v>18</v>
      </c>
      <c r="G18">
        <v>6</v>
      </c>
      <c r="H18" t="s">
        <v>12</v>
      </c>
      <c r="I18" t="s">
        <v>13</v>
      </c>
    </row>
    <row r="19" spans="1:9">
      <c r="A19" s="1">
        <v>46268</v>
      </c>
      <c r="B19" t="s">
        <v>22</v>
      </c>
      <c r="C19" t="s">
        <v>23</v>
      </c>
      <c r="D19" t="s">
        <v>24</v>
      </c>
      <c r="E19">
        <v>950</v>
      </c>
      <c r="F19">
        <v>9</v>
      </c>
      <c r="G19">
        <v>20</v>
      </c>
      <c r="H19" t="s">
        <v>25</v>
      </c>
      <c r="I19" t="s">
        <v>26</v>
      </c>
    </row>
    <row r="20" spans="1:9">
      <c r="A20" s="1">
        <v>46268</v>
      </c>
      <c r="B20" t="s">
        <v>27</v>
      </c>
      <c r="C20" t="s">
        <v>28</v>
      </c>
      <c r="D20" t="s">
        <v>29</v>
      </c>
      <c r="E20">
        <v>940</v>
      </c>
      <c r="F20">
        <v>14</v>
      </c>
      <c r="G20">
        <v>22</v>
      </c>
      <c r="H20" t="s">
        <v>30</v>
      </c>
      <c r="I20" t="s">
        <v>26</v>
      </c>
    </row>
    <row r="21" spans="1:9">
      <c r="A21" s="1">
        <v>46268</v>
      </c>
      <c r="B21" t="s">
        <v>33</v>
      </c>
      <c r="C21" t="s">
        <v>23</v>
      </c>
      <c r="D21" t="s">
        <v>24</v>
      </c>
      <c r="E21">
        <v>960</v>
      </c>
      <c r="F21">
        <v>10</v>
      </c>
      <c r="G21">
        <v>19</v>
      </c>
      <c r="H21" t="s">
        <v>25</v>
      </c>
      <c r="I21" t="s">
        <v>26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FDA88-8559-43D4-B3DD-9475989F5E9D}">
  <dimension ref="A1:D3"/>
  <sheetViews>
    <sheetView workbookViewId="0">
      <selection activeCell="E3" sqref="E3"/>
    </sheetView>
  </sheetViews>
  <sheetFormatPr defaultRowHeight="14.4"/>
  <cols>
    <col min="1" max="1" width="9.44140625" customWidth="1"/>
    <col min="2" max="2" width="17.109375" customWidth="1"/>
    <col min="3" max="3" width="14.21875" customWidth="1"/>
    <col min="4" max="4" width="8.88671875" style="4"/>
  </cols>
  <sheetData>
    <row r="1" spans="1:4">
      <c r="A1" t="s">
        <v>2</v>
      </c>
      <c r="B1" t="s">
        <v>36</v>
      </c>
      <c r="C1" t="s">
        <v>39</v>
      </c>
      <c r="D1" s="4" t="s">
        <v>45</v>
      </c>
    </row>
    <row r="2" spans="1:4">
      <c r="A2" t="s">
        <v>10</v>
      </c>
      <c r="B2" t="s">
        <v>37</v>
      </c>
      <c r="C2">
        <v>1000</v>
      </c>
      <c r="D2" s="4">
        <v>0.02</v>
      </c>
    </row>
    <row r="3" spans="1:4">
      <c r="A3" t="s">
        <v>23</v>
      </c>
      <c r="B3" t="s">
        <v>38</v>
      </c>
      <c r="C3">
        <v>900</v>
      </c>
      <c r="D3" s="4">
        <v>1.4999999999999999E-2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5DF14-5A87-47C9-9E6A-E7268B09C790}">
  <dimension ref="A1:K18"/>
  <sheetViews>
    <sheetView tabSelected="1" workbookViewId="0">
      <selection activeCell="M6" sqref="M6"/>
    </sheetView>
  </sheetViews>
  <sheetFormatPr defaultRowHeight="14.4"/>
  <cols>
    <col min="1" max="1" width="9.6640625" customWidth="1"/>
    <col min="2" max="2" width="15.5546875" customWidth="1"/>
    <col min="3" max="3" width="21.33203125" customWidth="1"/>
    <col min="4" max="4" width="12.5546875" customWidth="1"/>
    <col min="5" max="5" width="8.88671875" customWidth="1"/>
    <col min="6" max="6" width="10.21875" customWidth="1"/>
    <col min="7" max="7" width="11.33203125" customWidth="1"/>
  </cols>
  <sheetData>
    <row r="1" spans="1:11" ht="21">
      <c r="A1" s="7"/>
      <c r="B1" s="30" t="s">
        <v>47</v>
      </c>
      <c r="C1" s="30"/>
      <c r="D1" s="30"/>
      <c r="E1" s="30"/>
      <c r="F1" s="30"/>
      <c r="G1" s="30"/>
      <c r="H1" s="30"/>
      <c r="I1" s="30"/>
      <c r="J1" s="30"/>
      <c r="K1" s="30"/>
    </row>
    <row r="2" spans="1:11" ht="15" thickBot="1">
      <c r="A2" s="5"/>
    </row>
    <row r="3" spans="1:11" ht="22.8" customHeight="1">
      <c r="C3" s="18" t="s">
        <v>48</v>
      </c>
      <c r="D3" s="27"/>
      <c r="E3" s="22"/>
      <c r="F3" s="9" t="s">
        <v>58</v>
      </c>
      <c r="G3" s="23"/>
      <c r="H3" s="23"/>
      <c r="I3" s="23"/>
      <c r="J3" s="24"/>
    </row>
    <row r="4" spans="1:11">
      <c r="C4" s="10" t="s">
        <v>49</v>
      </c>
      <c r="D4" s="11">
        <f>AVERAGE(Clean_ProductionData[Units Produced])</f>
        <v>994</v>
      </c>
      <c r="F4" s="10" t="s">
        <v>59</v>
      </c>
      <c r="G4" s="16">
        <f>CORREL(Clean_ProductionData[Downtime Minutes],Clean_ProductionData[Units Produced])</f>
        <v>-0.8623269835095192</v>
      </c>
      <c r="H4" s="16"/>
      <c r="I4" s="16"/>
      <c r="J4" s="17"/>
    </row>
    <row r="5" spans="1:11" ht="14.4" customHeight="1">
      <c r="C5" s="10" t="s">
        <v>50</v>
      </c>
      <c r="D5" s="11">
        <f>MEDIAN(Clean_ProductionData[Units Produced])</f>
        <v>970</v>
      </c>
      <c r="F5" s="10" t="s">
        <v>60</v>
      </c>
      <c r="G5" s="8" t="s">
        <v>62</v>
      </c>
      <c r="H5" s="8"/>
      <c r="I5" s="8"/>
      <c r="J5" s="12"/>
    </row>
    <row r="6" spans="1:11">
      <c r="C6" s="10" t="s">
        <v>51</v>
      </c>
      <c r="D6" s="11">
        <f>_xlfn.STDEV.S(Clean_ProductionData[Units Produced])</f>
        <v>94.959825300242798</v>
      </c>
      <c r="E6" s="21"/>
      <c r="F6" s="25"/>
      <c r="G6" s="8"/>
      <c r="H6" s="8"/>
      <c r="I6" s="8"/>
      <c r="J6" s="12"/>
    </row>
    <row r="7" spans="1:11">
      <c r="C7" s="10" t="s">
        <v>43</v>
      </c>
      <c r="D7" s="19">
        <f>AVERAGE(Clean_ProductionData[Defect Rate])</f>
        <v>1.5578130124424544E-2</v>
      </c>
      <c r="E7" s="21"/>
      <c r="F7" s="25"/>
      <c r="G7" s="8"/>
      <c r="H7" s="8"/>
      <c r="I7" s="8"/>
      <c r="J7" s="12"/>
    </row>
    <row r="8" spans="1:11">
      <c r="C8" s="10" t="s">
        <v>52</v>
      </c>
      <c r="D8" s="19">
        <f>AVERAGE(Clean_ProductionData[Yield Rate])</f>
        <v>0.98442186987557556</v>
      </c>
      <c r="E8" s="21"/>
      <c r="F8" s="25"/>
      <c r="G8" s="8"/>
      <c r="H8" s="8"/>
      <c r="I8" s="8"/>
      <c r="J8" s="12"/>
    </row>
    <row r="9" spans="1:11" ht="15" thickBot="1">
      <c r="C9" s="13" t="s">
        <v>44</v>
      </c>
      <c r="D9" s="20">
        <f>AVERAGE(Clean_ProductionData[Downtime Minutes])</f>
        <v>17.05</v>
      </c>
      <c r="E9" s="21"/>
      <c r="F9" s="26"/>
      <c r="G9" s="14"/>
      <c r="H9" s="14"/>
      <c r="I9" s="14"/>
      <c r="J9" s="15"/>
    </row>
    <row r="12" spans="1:11" ht="15" thickBot="1"/>
    <row r="13" spans="1:11">
      <c r="G13" s="28" t="s">
        <v>46</v>
      </c>
      <c r="H13" s="29"/>
    </row>
    <row r="14" spans="1:11">
      <c r="G14" s="10" t="s">
        <v>56</v>
      </c>
      <c r="H14" s="11">
        <f>COUNTIF(Clean_ProductionData[Quality Status],"Within Target")</f>
        <v>18</v>
      </c>
    </row>
    <row r="15" spans="1:11" ht="15" thickBot="1">
      <c r="C15" s="6" t="s">
        <v>40</v>
      </c>
      <c r="D15" s="6" t="s">
        <v>61</v>
      </c>
      <c r="G15" s="13" t="s">
        <v>57</v>
      </c>
      <c r="H15" s="20">
        <f>COUNTIF(Clean_ProductionData[Quality Status],"Above Target")</f>
        <v>2</v>
      </c>
    </row>
    <row r="16" spans="1:11">
      <c r="C16" t="s">
        <v>53</v>
      </c>
      <c r="D16">
        <f>COUNTIF(Clean_ProductionData[Production Status],"Good")</f>
        <v>15</v>
      </c>
    </row>
    <row r="17" spans="3:4">
      <c r="C17" t="s">
        <v>54</v>
      </c>
      <c r="D17">
        <f>COUNTIF(Clean_ProductionData[Production Status],"Needs Monitoring")</f>
        <v>5</v>
      </c>
    </row>
    <row r="18" spans="3:4">
      <c r="C18" t="s">
        <v>55</v>
      </c>
      <c r="D18">
        <f>COUNTIF(Clean_ProductionData[Production Status],"Low Production")</f>
        <v>0</v>
      </c>
    </row>
  </sheetData>
  <mergeCells count="6">
    <mergeCell ref="C3:D3"/>
    <mergeCell ref="G13:H13"/>
    <mergeCell ref="B1:K1"/>
    <mergeCell ref="F3:J3"/>
    <mergeCell ref="G4:J4"/>
    <mergeCell ref="G5:J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45061-AF53-44BF-9EB7-9E61FB91C099}">
  <dimension ref="A1:Q21"/>
  <sheetViews>
    <sheetView topLeftCell="B1" zoomScale="85" zoomScaleNormal="85" workbookViewId="0">
      <selection activeCell="B22" sqref="B22"/>
    </sheetView>
  </sheetViews>
  <sheetFormatPr defaultRowHeight="14.4"/>
  <cols>
    <col min="1" max="1" width="8.44140625" customWidth="1"/>
    <col min="2" max="2" width="16.77734375" customWidth="1"/>
    <col min="3" max="3" width="10.44140625" bestFit="1" customWidth="1"/>
    <col min="5" max="6" width="16.44140625" customWidth="1"/>
    <col min="7" max="7" width="19.44140625" customWidth="1"/>
    <col min="8" max="8" width="11.21875" customWidth="1"/>
    <col min="9" max="9" width="12.77734375" customWidth="1"/>
    <col min="10" max="10" width="14.44140625" bestFit="1" customWidth="1"/>
    <col min="11" max="11" width="17.5546875" customWidth="1"/>
    <col min="12" max="12" width="15.6640625" customWidth="1"/>
    <col min="13" max="13" width="18.6640625" customWidth="1"/>
    <col min="14" max="14" width="13.44140625" style="4" customWidth="1"/>
    <col min="15" max="15" width="11.5546875" bestFit="1" customWidth="1"/>
    <col min="16" max="16" width="19.109375" style="4" customWidth="1"/>
    <col min="17" max="17" width="15.7773437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35</v>
      </c>
      <c r="K1" t="s">
        <v>36</v>
      </c>
      <c r="L1" t="s">
        <v>39</v>
      </c>
      <c r="M1" t="s">
        <v>40</v>
      </c>
      <c r="N1" s="4" t="s">
        <v>41</v>
      </c>
      <c r="O1" t="s">
        <v>42</v>
      </c>
      <c r="P1" s="4" t="s">
        <v>45</v>
      </c>
      <c r="Q1" t="s">
        <v>46</v>
      </c>
    </row>
    <row r="2" spans="1:17">
      <c r="A2" s="1">
        <v>46266</v>
      </c>
      <c r="B2" s="3" t="s">
        <v>9</v>
      </c>
      <c r="C2" s="3" t="s">
        <v>10</v>
      </c>
      <c r="D2" s="3" t="s">
        <v>11</v>
      </c>
      <c r="E2">
        <v>1000</v>
      </c>
      <c r="F2">
        <v>20</v>
      </c>
      <c r="G2">
        <v>15</v>
      </c>
      <c r="H2" s="3" t="s">
        <v>12</v>
      </c>
      <c r="I2" s="3" t="s">
        <v>13</v>
      </c>
      <c r="J2">
        <v>1</v>
      </c>
      <c r="K2" t="str">
        <f>_xlfn.XLOOKUP(Clean_ProductionData[[#This Row],[Product]],ProductLookup[Product],ProductLookup[Product Category],"Unknown")</f>
        <v>Sensor</v>
      </c>
      <c r="L2" s="3">
        <f>_xlfn.XLOOKUP(Clean_ProductionData[[#This Row],[Product]], ProductLookup[Product], ProductLookup[Standard Units], 0)</f>
        <v>1000</v>
      </c>
      <c r="M2" s="3" t="str">
        <f>IF(Clean_ProductionData[[#This Row],[Units Produced]]&gt;=Clean_ProductionData[[#This Row],[Standard Units]],"Good",IF(Clean_ProductionData[[#This Row],[Units Produced]]&gt;=Clean_ProductionData[[#This Row],[Standard Units]]*0.9,"Needs Monitoring","Low Production"))</f>
        <v>Good</v>
      </c>
      <c r="N2" s="4">
        <f>Clean_ProductionData[[#This Row],[Defective Units]]/Clean_ProductionData[[#This Row],[Units Produced]]</f>
        <v>0.02</v>
      </c>
      <c r="O2" s="4">
        <f>1-Clean_ProductionData[[#This Row],[Defect Rate]]</f>
        <v>0.98</v>
      </c>
      <c r="P2" s="4">
        <f>_xlfn.XLOOKUP(Clean_ProductionData[[#This Row],[Product]],ProductLookup[Product],ProductLookup[Target Defect Rate],0)</f>
        <v>0.02</v>
      </c>
      <c r="Q2" s="4" t="str">
        <f>IF(Clean_ProductionData[[#This Row],[Defect Rate]]&lt;=Clean_ProductionData[[#This Row],[Target Defect Rate]],"Within Target","Above Target")</f>
        <v>Within Target</v>
      </c>
    </row>
    <row r="3" spans="1:17">
      <c r="A3" s="1">
        <v>46266</v>
      </c>
      <c r="B3" s="3" t="s">
        <v>9</v>
      </c>
      <c r="C3" s="3" t="s">
        <v>10</v>
      </c>
      <c r="D3" s="3" t="s">
        <v>11</v>
      </c>
      <c r="E3">
        <v>950</v>
      </c>
      <c r="F3">
        <v>15</v>
      </c>
      <c r="G3">
        <v>10</v>
      </c>
      <c r="H3" s="3" t="s">
        <v>16</v>
      </c>
      <c r="I3" s="3" t="s">
        <v>13</v>
      </c>
      <c r="J3">
        <v>2</v>
      </c>
      <c r="K3" t="str">
        <f>_xlfn.XLOOKUP(Clean_ProductionData[[#This Row],[Product]],ProductLookup[Product],ProductLookup[Product Category],"Unknown")</f>
        <v>Sensor</v>
      </c>
      <c r="L3" s="3">
        <f>_xlfn.XLOOKUP(Clean_ProductionData[[#This Row],[Product]], ProductLookup[Product], ProductLookup[Standard Units], 0)</f>
        <v>1000</v>
      </c>
      <c r="M3" s="3" t="str">
        <f>IF(Clean_ProductionData[[#This Row],[Units Produced]]&gt;=Clean_ProductionData[[#This Row],[Standard Units]],"Good",IF(Clean_ProductionData[[#This Row],[Units Produced]]&gt;=Clean_ProductionData[[#This Row],[Standard Units]]*0.9,"Needs Monitoring","Low Production"))</f>
        <v>Needs Monitoring</v>
      </c>
      <c r="N3" s="4">
        <f>Clean_ProductionData[[#This Row],[Defective Units]]/Clean_ProductionData[[#This Row],[Units Produced]]</f>
        <v>1.5789473684210527E-2</v>
      </c>
      <c r="O3" s="4">
        <f>1-Clean_ProductionData[[#This Row],[Defect Rate]]</f>
        <v>0.98421052631578942</v>
      </c>
      <c r="P3" s="4">
        <f>_xlfn.XLOOKUP(Clean_ProductionData[[#This Row],[Product]],ProductLookup[Product],ProductLookup[Target Defect Rate],0)</f>
        <v>0.02</v>
      </c>
      <c r="Q3" s="4" t="str">
        <f>IF(Clean_ProductionData[[#This Row],[Defect Rate]]&lt;=Clean_ProductionData[[#This Row],[Target Defect Rate]],"Within Target","Above Target")</f>
        <v>Within Target</v>
      </c>
    </row>
    <row r="4" spans="1:17">
      <c r="A4" s="1">
        <v>46266</v>
      </c>
      <c r="B4" s="3" t="s">
        <v>9</v>
      </c>
      <c r="C4" s="3" t="s">
        <v>10</v>
      </c>
      <c r="D4" s="3" t="s">
        <v>11</v>
      </c>
      <c r="E4">
        <v>1020</v>
      </c>
      <c r="F4">
        <v>18</v>
      </c>
      <c r="G4">
        <v>12</v>
      </c>
      <c r="H4" s="3" t="s">
        <v>12</v>
      </c>
      <c r="I4" s="3" t="s">
        <v>13</v>
      </c>
      <c r="J4">
        <v>3</v>
      </c>
      <c r="K4" t="str">
        <f>_xlfn.XLOOKUP(Clean_ProductionData[[#This Row],[Product]],ProductLookup[Product],ProductLookup[Product Category],"Unknown")</f>
        <v>Sensor</v>
      </c>
      <c r="L4" s="3">
        <f>_xlfn.XLOOKUP(Clean_ProductionData[[#This Row],[Product]], ProductLookup[Product], ProductLookup[Standard Units], 0)</f>
        <v>1000</v>
      </c>
      <c r="M4" s="3" t="str">
        <f>IF(Clean_ProductionData[[#This Row],[Units Produced]]&gt;=Clean_ProductionData[[#This Row],[Standard Units]],"Good",IF(Clean_ProductionData[[#This Row],[Units Produced]]&gt;=Clean_ProductionData[[#This Row],[Standard Units]]*0.9,"Needs Monitoring","Low Production"))</f>
        <v>Good</v>
      </c>
      <c r="N4" s="4">
        <f>Clean_ProductionData[[#This Row],[Defective Units]]/Clean_ProductionData[[#This Row],[Units Produced]]</f>
        <v>1.7647058823529412E-2</v>
      </c>
      <c r="O4" s="4">
        <f>1-Clean_ProductionData[[#This Row],[Defect Rate]]</f>
        <v>0.98235294117647054</v>
      </c>
      <c r="P4" s="4">
        <f>_xlfn.XLOOKUP(Clean_ProductionData[[#This Row],[Product]],ProductLookup[Product],ProductLookup[Target Defect Rate],0)</f>
        <v>0.02</v>
      </c>
      <c r="Q4" s="4" t="str">
        <f>IF(Clean_ProductionData[[#This Row],[Defect Rate]]&lt;=Clean_ProductionData[[#This Row],[Target Defect Rate]],"Within Target","Above Target")</f>
        <v>Within Target</v>
      </c>
    </row>
    <row r="5" spans="1:17">
      <c r="A5" s="1">
        <v>46266</v>
      </c>
      <c r="B5" s="3" t="s">
        <v>9</v>
      </c>
      <c r="C5" s="3" t="s">
        <v>10</v>
      </c>
      <c r="D5" s="3" t="s">
        <v>11</v>
      </c>
      <c r="E5">
        <v>980</v>
      </c>
      <c r="F5">
        <v>25</v>
      </c>
      <c r="G5">
        <v>20</v>
      </c>
      <c r="H5" s="3" t="s">
        <v>21</v>
      </c>
      <c r="I5" s="3" t="s">
        <v>13</v>
      </c>
      <c r="J5">
        <v>4</v>
      </c>
      <c r="K5" t="str">
        <f>_xlfn.XLOOKUP(Clean_ProductionData[[#This Row],[Product]],ProductLookup[Product],ProductLookup[Product Category],"Unknown")</f>
        <v>Sensor</v>
      </c>
      <c r="L5" s="3">
        <f>_xlfn.XLOOKUP(Clean_ProductionData[[#This Row],[Product]], ProductLookup[Product], ProductLookup[Standard Units], 0)</f>
        <v>1000</v>
      </c>
      <c r="M5" s="3" t="str">
        <f>IF(Clean_ProductionData[[#This Row],[Units Produced]]&gt;=Clean_ProductionData[[#This Row],[Standard Units]],"Good",IF(Clean_ProductionData[[#This Row],[Units Produced]]&gt;=Clean_ProductionData[[#This Row],[Standard Units]]*0.9,"Needs Monitoring","Low Production"))</f>
        <v>Needs Monitoring</v>
      </c>
      <c r="N5" s="4">
        <f>Clean_ProductionData[[#This Row],[Defective Units]]/Clean_ProductionData[[#This Row],[Units Produced]]</f>
        <v>2.5510204081632654E-2</v>
      </c>
      <c r="O5" s="4">
        <f>1-Clean_ProductionData[[#This Row],[Defect Rate]]</f>
        <v>0.97448979591836737</v>
      </c>
      <c r="P5" s="4">
        <f>_xlfn.XLOOKUP(Clean_ProductionData[[#This Row],[Product]],ProductLookup[Product],ProductLookup[Target Defect Rate],0)</f>
        <v>0.02</v>
      </c>
      <c r="Q5" s="4" t="str">
        <f>IF(Clean_ProductionData[[#This Row],[Defect Rate]]&lt;=Clean_ProductionData[[#This Row],[Target Defect Rate]],"Within Target","Above Target")</f>
        <v>Above Target</v>
      </c>
    </row>
    <row r="6" spans="1:17">
      <c r="A6" s="1">
        <v>46266</v>
      </c>
      <c r="B6" s="3" t="s">
        <v>22</v>
      </c>
      <c r="C6" s="3" t="s">
        <v>23</v>
      </c>
      <c r="D6" s="3" t="s">
        <v>24</v>
      </c>
      <c r="E6">
        <v>850</v>
      </c>
      <c r="F6">
        <v>10</v>
      </c>
      <c r="G6">
        <v>30</v>
      </c>
      <c r="H6" s="3" t="s">
        <v>25</v>
      </c>
      <c r="I6" s="3" t="s">
        <v>26</v>
      </c>
      <c r="J6">
        <v>5</v>
      </c>
      <c r="K6" t="str">
        <f>_xlfn.XLOOKUP(Clean_ProductionData[[#This Row],[Product]],ProductLookup[Product],ProductLookup[Product Category],"Unknown")</f>
        <v>Controller</v>
      </c>
      <c r="L6" s="3">
        <f>_xlfn.XLOOKUP(Clean_ProductionData[[#This Row],[Product]], ProductLookup[Product], ProductLookup[Standard Units], 0)</f>
        <v>900</v>
      </c>
      <c r="M6" s="3" t="str">
        <f>IF(Clean_ProductionData[[#This Row],[Units Produced]]&gt;=Clean_ProductionData[[#This Row],[Standard Units]],"Good",IF(Clean_ProductionData[[#This Row],[Units Produced]]&gt;=Clean_ProductionData[[#This Row],[Standard Units]]*0.9,"Needs Monitoring","Low Production"))</f>
        <v>Needs Monitoring</v>
      </c>
      <c r="N6" s="4">
        <f>Clean_ProductionData[[#This Row],[Defective Units]]/Clean_ProductionData[[#This Row],[Units Produced]]</f>
        <v>1.1764705882352941E-2</v>
      </c>
      <c r="O6" s="4">
        <f>1-Clean_ProductionData[[#This Row],[Defect Rate]]</f>
        <v>0.9882352941176471</v>
      </c>
      <c r="P6" s="4">
        <f>_xlfn.XLOOKUP(Clean_ProductionData[[#This Row],[Product]],ProductLookup[Product],ProductLookup[Target Defect Rate],0)</f>
        <v>1.4999999999999999E-2</v>
      </c>
      <c r="Q6" s="4" t="str">
        <f>IF(Clean_ProductionData[[#This Row],[Defect Rate]]&lt;=Clean_ProductionData[[#This Row],[Target Defect Rate]],"Within Target","Above Target")</f>
        <v>Within Target</v>
      </c>
    </row>
    <row r="7" spans="1:17">
      <c r="A7" s="1">
        <v>46266</v>
      </c>
      <c r="B7" s="3" t="s">
        <v>22</v>
      </c>
      <c r="C7" s="3" t="s">
        <v>23</v>
      </c>
      <c r="D7" s="3" t="s">
        <v>24</v>
      </c>
      <c r="E7">
        <v>900</v>
      </c>
      <c r="F7">
        <v>12</v>
      </c>
      <c r="G7">
        <v>25</v>
      </c>
      <c r="H7" s="3" t="s">
        <v>30</v>
      </c>
      <c r="I7" s="3" t="s">
        <v>26</v>
      </c>
      <c r="J7">
        <v>6</v>
      </c>
      <c r="K7" t="str">
        <f>_xlfn.XLOOKUP(Clean_ProductionData[[#This Row],[Product]],ProductLookup[Product],ProductLookup[Product Category],"Unknown")</f>
        <v>Controller</v>
      </c>
      <c r="L7" s="3">
        <f>_xlfn.XLOOKUP(Clean_ProductionData[[#This Row],[Product]], ProductLookup[Product], ProductLookup[Standard Units], 0)</f>
        <v>900</v>
      </c>
      <c r="M7" s="3" t="str">
        <f>IF(Clean_ProductionData[[#This Row],[Units Produced]]&gt;=Clean_ProductionData[[#This Row],[Standard Units]],"Good",IF(Clean_ProductionData[[#This Row],[Units Produced]]&gt;=Clean_ProductionData[[#This Row],[Standard Units]]*0.9,"Needs Monitoring","Low Production"))</f>
        <v>Good</v>
      </c>
      <c r="N7" s="4">
        <f>Clean_ProductionData[[#This Row],[Defective Units]]/Clean_ProductionData[[#This Row],[Units Produced]]</f>
        <v>1.3333333333333334E-2</v>
      </c>
      <c r="O7" s="4">
        <f>1-Clean_ProductionData[[#This Row],[Defect Rate]]</f>
        <v>0.98666666666666669</v>
      </c>
      <c r="P7" s="4">
        <f>_xlfn.XLOOKUP(Clean_ProductionData[[#This Row],[Product]],ProductLookup[Product],ProductLookup[Target Defect Rate],0)</f>
        <v>1.4999999999999999E-2</v>
      </c>
      <c r="Q7" s="4" t="str">
        <f>IF(Clean_ProductionData[[#This Row],[Defect Rate]]&lt;=Clean_ProductionData[[#This Row],[Target Defect Rate]],"Within Target","Above Target")</f>
        <v>Within Target</v>
      </c>
    </row>
    <row r="8" spans="1:17">
      <c r="A8" s="1">
        <v>46266</v>
      </c>
      <c r="B8" s="3" t="s">
        <v>22</v>
      </c>
      <c r="C8" s="3" t="s">
        <v>23</v>
      </c>
      <c r="D8" s="3" t="s">
        <v>24</v>
      </c>
      <c r="E8">
        <v>875</v>
      </c>
      <c r="F8">
        <v>8</v>
      </c>
      <c r="G8">
        <v>18</v>
      </c>
      <c r="H8" s="3" t="s">
        <v>25</v>
      </c>
      <c r="I8" s="3" t="s">
        <v>26</v>
      </c>
      <c r="J8">
        <v>7</v>
      </c>
      <c r="K8" t="str">
        <f>_xlfn.XLOOKUP(Clean_ProductionData[[#This Row],[Product]],ProductLookup[Product],ProductLookup[Product Category],"Unknown")</f>
        <v>Controller</v>
      </c>
      <c r="L8" s="3">
        <f>_xlfn.XLOOKUP(Clean_ProductionData[[#This Row],[Product]], ProductLookup[Product], ProductLookup[Standard Units], 0)</f>
        <v>900</v>
      </c>
      <c r="M8" s="3" t="str">
        <f>IF(Clean_ProductionData[[#This Row],[Units Produced]]&gt;=Clean_ProductionData[[#This Row],[Standard Units]],"Good",IF(Clean_ProductionData[[#This Row],[Units Produced]]&gt;=Clean_ProductionData[[#This Row],[Standard Units]]*0.9,"Needs Monitoring","Low Production"))</f>
        <v>Needs Monitoring</v>
      </c>
      <c r="N8" s="4">
        <f>Clean_ProductionData[[#This Row],[Defective Units]]/Clean_ProductionData[[#This Row],[Units Produced]]</f>
        <v>9.1428571428571435E-3</v>
      </c>
      <c r="O8" s="4">
        <f>1-Clean_ProductionData[[#This Row],[Defect Rate]]</f>
        <v>0.99085714285714288</v>
      </c>
      <c r="P8" s="4">
        <f>_xlfn.XLOOKUP(Clean_ProductionData[[#This Row],[Product]],ProductLookup[Product],ProductLookup[Target Defect Rate],0)</f>
        <v>1.4999999999999999E-2</v>
      </c>
      <c r="Q8" s="4" t="str">
        <f>IF(Clean_ProductionData[[#This Row],[Defect Rate]]&lt;=Clean_ProductionData[[#This Row],[Target Defect Rate]],"Within Target","Above Target")</f>
        <v>Within Target</v>
      </c>
    </row>
    <row r="9" spans="1:17">
      <c r="A9" s="1">
        <v>46267</v>
      </c>
      <c r="B9" s="3" t="s">
        <v>9</v>
      </c>
      <c r="C9" s="3" t="s">
        <v>10</v>
      </c>
      <c r="D9" s="3" t="s">
        <v>32</v>
      </c>
      <c r="E9">
        <v>1100</v>
      </c>
      <c r="F9">
        <v>22</v>
      </c>
      <c r="G9">
        <v>8</v>
      </c>
      <c r="H9" s="3" t="s">
        <v>12</v>
      </c>
      <c r="I9" s="3" t="s">
        <v>13</v>
      </c>
      <c r="J9">
        <v>8</v>
      </c>
      <c r="K9" t="str">
        <f>_xlfn.XLOOKUP(Clean_ProductionData[[#This Row],[Product]],ProductLookup[Product],ProductLookup[Product Category],"Unknown")</f>
        <v>Sensor</v>
      </c>
      <c r="L9" s="3">
        <f>_xlfn.XLOOKUP(Clean_ProductionData[[#This Row],[Product]], ProductLookup[Product], ProductLookup[Standard Units], 0)</f>
        <v>1000</v>
      </c>
      <c r="M9" s="3" t="str">
        <f>IF(Clean_ProductionData[[#This Row],[Units Produced]]&gt;=Clean_ProductionData[[#This Row],[Standard Units]],"Good",IF(Clean_ProductionData[[#This Row],[Units Produced]]&gt;=Clean_ProductionData[[#This Row],[Standard Units]]*0.9,"Needs Monitoring","Low Production"))</f>
        <v>Good</v>
      </c>
      <c r="N9" s="4">
        <f>Clean_ProductionData[[#This Row],[Defective Units]]/Clean_ProductionData[[#This Row],[Units Produced]]</f>
        <v>0.02</v>
      </c>
      <c r="O9" s="4">
        <f>1-Clean_ProductionData[[#This Row],[Defect Rate]]</f>
        <v>0.98</v>
      </c>
      <c r="P9" s="4">
        <f>_xlfn.XLOOKUP(Clean_ProductionData[[#This Row],[Product]],ProductLookup[Product],ProductLookup[Target Defect Rate],0)</f>
        <v>0.02</v>
      </c>
      <c r="Q9" s="4" t="str">
        <f>IF(Clean_ProductionData[[#This Row],[Defect Rate]]&lt;=Clean_ProductionData[[#This Row],[Target Defect Rate]],"Within Target","Above Target")</f>
        <v>Within Target</v>
      </c>
    </row>
    <row r="10" spans="1:17">
      <c r="A10" s="1">
        <v>46267</v>
      </c>
      <c r="B10" s="3" t="s">
        <v>9</v>
      </c>
      <c r="C10" s="3" t="s">
        <v>10</v>
      </c>
      <c r="D10" s="3" t="s">
        <v>32</v>
      </c>
      <c r="E10">
        <v>1080</v>
      </c>
      <c r="F10">
        <v>20</v>
      </c>
      <c r="G10">
        <v>12</v>
      </c>
      <c r="H10" s="3" t="s">
        <v>16</v>
      </c>
      <c r="I10" s="3" t="s">
        <v>13</v>
      </c>
      <c r="J10">
        <v>9</v>
      </c>
      <c r="K10" t="str">
        <f>_xlfn.XLOOKUP(Clean_ProductionData[[#This Row],[Product]],ProductLookup[Product],ProductLookup[Product Category],"Unknown")</f>
        <v>Sensor</v>
      </c>
      <c r="L10" s="3">
        <f>_xlfn.XLOOKUP(Clean_ProductionData[[#This Row],[Product]], ProductLookup[Product], ProductLookup[Standard Units], 0)</f>
        <v>1000</v>
      </c>
      <c r="M10" s="3" t="str">
        <f>IF(Clean_ProductionData[[#This Row],[Units Produced]]&gt;=Clean_ProductionData[[#This Row],[Standard Units]],"Good",IF(Clean_ProductionData[[#This Row],[Units Produced]]&gt;=Clean_ProductionData[[#This Row],[Standard Units]]*0.9,"Needs Monitoring","Low Production"))</f>
        <v>Good</v>
      </c>
      <c r="N10" s="4">
        <f>Clean_ProductionData[[#This Row],[Defective Units]]/Clean_ProductionData[[#This Row],[Units Produced]]</f>
        <v>1.8518518518518517E-2</v>
      </c>
      <c r="O10" s="4">
        <f>1-Clean_ProductionData[[#This Row],[Defect Rate]]</f>
        <v>0.98148148148148151</v>
      </c>
      <c r="P10" s="4">
        <f>_xlfn.XLOOKUP(Clean_ProductionData[[#This Row],[Product]],ProductLookup[Product],ProductLookup[Target Defect Rate],0)</f>
        <v>0.02</v>
      </c>
      <c r="Q10" s="4" t="str">
        <f>IF(Clean_ProductionData[[#This Row],[Defect Rate]]&lt;=Clean_ProductionData[[#This Row],[Target Defect Rate]],"Within Target","Above Target")</f>
        <v>Within Target</v>
      </c>
    </row>
    <row r="11" spans="1:17">
      <c r="A11" s="1">
        <v>46267</v>
      </c>
      <c r="B11" s="3" t="s">
        <v>9</v>
      </c>
      <c r="C11" s="3" t="s">
        <v>10</v>
      </c>
      <c r="D11" s="3" t="s">
        <v>32</v>
      </c>
      <c r="E11">
        <v>1050</v>
      </c>
      <c r="F11">
        <v>19</v>
      </c>
      <c r="G11">
        <v>10</v>
      </c>
      <c r="H11" s="3" t="s">
        <v>21</v>
      </c>
      <c r="I11" s="3" t="s">
        <v>13</v>
      </c>
      <c r="J11">
        <v>10</v>
      </c>
      <c r="K11" t="str">
        <f>_xlfn.XLOOKUP(Clean_ProductionData[[#This Row],[Product]],ProductLookup[Product],ProductLookup[Product Category],"Unknown")</f>
        <v>Sensor</v>
      </c>
      <c r="L11" s="3">
        <f>_xlfn.XLOOKUP(Clean_ProductionData[[#This Row],[Product]], ProductLookup[Product], ProductLookup[Standard Units], 0)</f>
        <v>1000</v>
      </c>
      <c r="M11" s="3" t="str">
        <f>IF(Clean_ProductionData[[#This Row],[Units Produced]]&gt;=Clean_ProductionData[[#This Row],[Standard Units]],"Good",IF(Clean_ProductionData[[#This Row],[Units Produced]]&gt;=Clean_ProductionData[[#This Row],[Standard Units]]*0.9,"Needs Monitoring","Low Production"))</f>
        <v>Good</v>
      </c>
      <c r="N11" s="4">
        <f>Clean_ProductionData[[#This Row],[Defective Units]]/Clean_ProductionData[[#This Row],[Units Produced]]</f>
        <v>1.8095238095238095E-2</v>
      </c>
      <c r="O11" s="4">
        <f>1-Clean_ProductionData[[#This Row],[Defect Rate]]</f>
        <v>0.98190476190476195</v>
      </c>
      <c r="P11" s="4">
        <f>_xlfn.XLOOKUP(Clean_ProductionData[[#This Row],[Product]],ProductLookup[Product],ProductLookup[Target Defect Rate],0)</f>
        <v>0.02</v>
      </c>
      <c r="Q11" s="4" t="str">
        <f>IF(Clean_ProductionData[[#This Row],[Defect Rate]]&lt;=Clean_ProductionData[[#This Row],[Target Defect Rate]],"Within Target","Above Target")</f>
        <v>Within Target</v>
      </c>
    </row>
    <row r="12" spans="1:17">
      <c r="A12" s="1">
        <v>46267</v>
      </c>
      <c r="B12" s="3" t="s">
        <v>22</v>
      </c>
      <c r="C12" s="3" t="s">
        <v>23</v>
      </c>
      <c r="D12" s="3" t="s">
        <v>11</v>
      </c>
      <c r="E12">
        <v>920</v>
      </c>
      <c r="F12">
        <v>15</v>
      </c>
      <c r="G12">
        <v>35</v>
      </c>
      <c r="H12" s="3" t="s">
        <v>25</v>
      </c>
      <c r="I12" s="3" t="s">
        <v>26</v>
      </c>
      <c r="J12">
        <v>11</v>
      </c>
      <c r="K12" t="str">
        <f>_xlfn.XLOOKUP(Clean_ProductionData[[#This Row],[Product]],ProductLookup[Product],ProductLookup[Product Category],"Unknown")</f>
        <v>Controller</v>
      </c>
      <c r="L12" s="3">
        <f>_xlfn.XLOOKUP(Clean_ProductionData[[#This Row],[Product]], ProductLookup[Product], ProductLookup[Standard Units], 0)</f>
        <v>900</v>
      </c>
      <c r="M12" s="3" t="str">
        <f>IF(Clean_ProductionData[[#This Row],[Units Produced]]&gt;=Clean_ProductionData[[#This Row],[Standard Units]],"Good",IF(Clean_ProductionData[[#This Row],[Units Produced]]&gt;=Clean_ProductionData[[#This Row],[Standard Units]]*0.9,"Needs Monitoring","Low Production"))</f>
        <v>Good</v>
      </c>
      <c r="N12" s="4">
        <f>Clean_ProductionData[[#This Row],[Defective Units]]/Clean_ProductionData[[#This Row],[Units Produced]]</f>
        <v>1.6304347826086956E-2</v>
      </c>
      <c r="O12" s="4">
        <f>1-Clean_ProductionData[[#This Row],[Defect Rate]]</f>
        <v>0.98369565217391308</v>
      </c>
      <c r="P12" s="4">
        <f>_xlfn.XLOOKUP(Clean_ProductionData[[#This Row],[Product]],ProductLookup[Product],ProductLookup[Target Defect Rate],0)</f>
        <v>1.4999999999999999E-2</v>
      </c>
      <c r="Q12" s="4" t="str">
        <f>IF(Clean_ProductionData[[#This Row],[Defect Rate]]&lt;=Clean_ProductionData[[#This Row],[Target Defect Rate]],"Within Target","Above Target")</f>
        <v>Above Target</v>
      </c>
    </row>
    <row r="13" spans="1:17">
      <c r="A13" s="1">
        <v>46267</v>
      </c>
      <c r="B13" s="3" t="s">
        <v>22</v>
      </c>
      <c r="C13" s="3" t="s">
        <v>23</v>
      </c>
      <c r="D13" s="3" t="s">
        <v>11</v>
      </c>
      <c r="E13">
        <v>890</v>
      </c>
      <c r="F13">
        <v>11</v>
      </c>
      <c r="G13">
        <v>28</v>
      </c>
      <c r="H13" s="3" t="s">
        <v>30</v>
      </c>
      <c r="I13" s="3" t="s">
        <v>26</v>
      </c>
      <c r="J13">
        <v>12</v>
      </c>
      <c r="K13" t="str">
        <f>_xlfn.XLOOKUP(Clean_ProductionData[[#This Row],[Product]],ProductLookup[Product],ProductLookup[Product Category],"Unknown")</f>
        <v>Controller</v>
      </c>
      <c r="L13" s="3">
        <f>_xlfn.XLOOKUP(Clean_ProductionData[[#This Row],[Product]], ProductLookup[Product], ProductLookup[Standard Units], 0)</f>
        <v>900</v>
      </c>
      <c r="M13" s="3" t="str">
        <f>IF(Clean_ProductionData[[#This Row],[Units Produced]]&gt;=Clean_ProductionData[[#This Row],[Standard Units]],"Good",IF(Clean_ProductionData[[#This Row],[Units Produced]]&gt;=Clean_ProductionData[[#This Row],[Standard Units]]*0.9,"Needs Monitoring","Low Production"))</f>
        <v>Needs Monitoring</v>
      </c>
      <c r="N13" s="4">
        <f>Clean_ProductionData[[#This Row],[Defective Units]]/Clean_ProductionData[[#This Row],[Units Produced]]</f>
        <v>1.2359550561797753E-2</v>
      </c>
      <c r="O13" s="4">
        <f>1-Clean_ProductionData[[#This Row],[Defect Rate]]</f>
        <v>0.98764044943820228</v>
      </c>
      <c r="P13" s="4">
        <f>_xlfn.XLOOKUP(Clean_ProductionData[[#This Row],[Product]],ProductLookup[Product],ProductLookup[Target Defect Rate],0)</f>
        <v>1.4999999999999999E-2</v>
      </c>
      <c r="Q13" s="4" t="str">
        <f>IF(Clean_ProductionData[[#This Row],[Defect Rate]]&lt;=Clean_ProductionData[[#This Row],[Target Defect Rate]],"Within Target","Above Target")</f>
        <v>Within Target</v>
      </c>
    </row>
    <row r="14" spans="1:17">
      <c r="A14" s="1">
        <v>46267</v>
      </c>
      <c r="B14" s="3" t="s">
        <v>22</v>
      </c>
      <c r="C14" s="3" t="s">
        <v>23</v>
      </c>
      <c r="D14" s="3" t="s">
        <v>11</v>
      </c>
      <c r="E14">
        <v>905</v>
      </c>
      <c r="F14">
        <v>13</v>
      </c>
      <c r="G14">
        <v>30</v>
      </c>
      <c r="H14" s="3" t="s">
        <v>25</v>
      </c>
      <c r="I14" s="3" t="s">
        <v>26</v>
      </c>
      <c r="J14">
        <v>13</v>
      </c>
      <c r="K14" t="str">
        <f>_xlfn.XLOOKUP(Clean_ProductionData[[#This Row],[Product]],ProductLookup[Product],ProductLookup[Product Category],"Unknown")</f>
        <v>Controller</v>
      </c>
      <c r="L14" s="3">
        <f>_xlfn.XLOOKUP(Clean_ProductionData[[#This Row],[Product]], ProductLookup[Product], ProductLookup[Standard Units], 0)</f>
        <v>900</v>
      </c>
      <c r="M14" s="3" t="str">
        <f>IF(Clean_ProductionData[[#This Row],[Units Produced]]&gt;=Clean_ProductionData[[#This Row],[Standard Units]],"Good",IF(Clean_ProductionData[[#This Row],[Units Produced]]&gt;=Clean_ProductionData[[#This Row],[Standard Units]]*0.9,"Needs Monitoring","Low Production"))</f>
        <v>Good</v>
      </c>
      <c r="N14" s="4">
        <f>Clean_ProductionData[[#This Row],[Defective Units]]/Clean_ProductionData[[#This Row],[Units Produced]]</f>
        <v>1.4364640883977901E-2</v>
      </c>
      <c r="O14" s="4">
        <f>1-Clean_ProductionData[[#This Row],[Defect Rate]]</f>
        <v>0.98563535911602207</v>
      </c>
      <c r="P14" s="4">
        <f>_xlfn.XLOOKUP(Clean_ProductionData[[#This Row],[Product]],ProductLookup[Product],ProductLookup[Target Defect Rate],0)</f>
        <v>1.4999999999999999E-2</v>
      </c>
      <c r="Q14" s="4" t="str">
        <f>IF(Clean_ProductionData[[#This Row],[Defect Rate]]&lt;=Clean_ProductionData[[#This Row],[Target Defect Rate]],"Within Target","Above Target")</f>
        <v>Within Target</v>
      </c>
    </row>
    <row r="15" spans="1:17">
      <c r="A15" s="1">
        <v>46268</v>
      </c>
      <c r="B15" s="3" t="s">
        <v>9</v>
      </c>
      <c r="C15" s="3" t="s">
        <v>10</v>
      </c>
      <c r="D15" s="3" t="s">
        <v>11</v>
      </c>
      <c r="E15">
        <v>1150</v>
      </c>
      <c r="F15">
        <v>17</v>
      </c>
      <c r="G15">
        <v>5</v>
      </c>
      <c r="H15" s="3" t="s">
        <v>12</v>
      </c>
      <c r="I15" s="3" t="s">
        <v>13</v>
      </c>
      <c r="J15">
        <v>14</v>
      </c>
      <c r="K15" t="str">
        <f>_xlfn.XLOOKUP(Clean_ProductionData[[#This Row],[Product]],ProductLookup[Product],ProductLookup[Product Category],"Unknown")</f>
        <v>Sensor</v>
      </c>
      <c r="L15" s="3">
        <f>_xlfn.XLOOKUP(Clean_ProductionData[[#This Row],[Product]], ProductLookup[Product], ProductLookup[Standard Units], 0)</f>
        <v>1000</v>
      </c>
      <c r="M15" s="3" t="str">
        <f>IF(Clean_ProductionData[[#This Row],[Units Produced]]&gt;=Clean_ProductionData[[#This Row],[Standard Units]],"Good",IF(Clean_ProductionData[[#This Row],[Units Produced]]&gt;=Clean_ProductionData[[#This Row],[Standard Units]]*0.9,"Needs Monitoring","Low Production"))</f>
        <v>Good</v>
      </c>
      <c r="N15" s="4">
        <f>Clean_ProductionData[[#This Row],[Defective Units]]/Clean_ProductionData[[#This Row],[Units Produced]]</f>
        <v>1.4782608695652174E-2</v>
      </c>
      <c r="O15" s="4">
        <f>1-Clean_ProductionData[[#This Row],[Defect Rate]]</f>
        <v>0.98521739130434782</v>
      </c>
      <c r="P15" s="4">
        <f>_xlfn.XLOOKUP(Clean_ProductionData[[#This Row],[Product]],ProductLookup[Product],ProductLookup[Target Defect Rate],0)</f>
        <v>0.02</v>
      </c>
      <c r="Q15" s="4" t="str">
        <f>IF(Clean_ProductionData[[#This Row],[Defect Rate]]&lt;=Clean_ProductionData[[#This Row],[Target Defect Rate]],"Within Target","Above Target")</f>
        <v>Within Target</v>
      </c>
    </row>
    <row r="16" spans="1:17">
      <c r="A16" s="1">
        <v>46268</v>
      </c>
      <c r="B16" s="3" t="s">
        <v>9</v>
      </c>
      <c r="C16" s="3" t="s">
        <v>10</v>
      </c>
      <c r="D16" s="3" t="s">
        <v>11</v>
      </c>
      <c r="E16">
        <v>1120</v>
      </c>
      <c r="F16">
        <v>16</v>
      </c>
      <c r="G16">
        <v>7</v>
      </c>
      <c r="H16" s="3" t="s">
        <v>16</v>
      </c>
      <c r="I16" s="3" t="s">
        <v>13</v>
      </c>
      <c r="J16">
        <v>15</v>
      </c>
      <c r="K16" t="str">
        <f>_xlfn.XLOOKUP(Clean_ProductionData[[#This Row],[Product]],ProductLookup[Product],ProductLookup[Product Category],"Unknown")</f>
        <v>Sensor</v>
      </c>
      <c r="L16" s="3">
        <f>_xlfn.XLOOKUP(Clean_ProductionData[[#This Row],[Product]], ProductLookup[Product], ProductLookup[Standard Units], 0)</f>
        <v>1000</v>
      </c>
      <c r="M16" s="3" t="str">
        <f>IF(Clean_ProductionData[[#This Row],[Units Produced]]&gt;=Clean_ProductionData[[#This Row],[Standard Units]],"Good",IF(Clean_ProductionData[[#This Row],[Units Produced]]&gt;=Clean_ProductionData[[#This Row],[Standard Units]]*0.9,"Needs Monitoring","Low Production"))</f>
        <v>Good</v>
      </c>
      <c r="N16" s="4">
        <f>Clean_ProductionData[[#This Row],[Defective Units]]/Clean_ProductionData[[#This Row],[Units Produced]]</f>
        <v>1.4285714285714285E-2</v>
      </c>
      <c r="O16" s="4">
        <f>1-Clean_ProductionData[[#This Row],[Defect Rate]]</f>
        <v>0.98571428571428577</v>
      </c>
      <c r="P16" s="4">
        <f>_xlfn.XLOOKUP(Clean_ProductionData[[#This Row],[Product]],ProductLookup[Product],ProductLookup[Target Defect Rate],0)</f>
        <v>0.02</v>
      </c>
      <c r="Q16" s="4" t="str">
        <f>IF(Clean_ProductionData[[#This Row],[Defect Rate]]&lt;=Clean_ProductionData[[#This Row],[Target Defect Rate]],"Within Target","Above Target")</f>
        <v>Within Target</v>
      </c>
    </row>
    <row r="17" spans="1:17">
      <c r="A17" s="1">
        <v>46268</v>
      </c>
      <c r="B17" s="3" t="s">
        <v>9</v>
      </c>
      <c r="C17" s="3" t="s">
        <v>10</v>
      </c>
      <c r="D17" s="3" t="s">
        <v>11</v>
      </c>
      <c r="E17">
        <v>1100</v>
      </c>
      <c r="F17">
        <v>21</v>
      </c>
      <c r="G17">
        <v>9</v>
      </c>
      <c r="H17" s="3" t="s">
        <v>21</v>
      </c>
      <c r="I17" s="3" t="s">
        <v>13</v>
      </c>
      <c r="J17">
        <v>16</v>
      </c>
      <c r="K17" t="str">
        <f>_xlfn.XLOOKUP(Clean_ProductionData[[#This Row],[Product]],ProductLookup[Product],ProductLookup[Product Category],"Unknown")</f>
        <v>Sensor</v>
      </c>
      <c r="L17" s="3">
        <f>_xlfn.XLOOKUP(Clean_ProductionData[[#This Row],[Product]], ProductLookup[Product], ProductLookup[Standard Units], 0)</f>
        <v>1000</v>
      </c>
      <c r="M17" s="3" t="str">
        <f>IF(Clean_ProductionData[[#This Row],[Units Produced]]&gt;=Clean_ProductionData[[#This Row],[Standard Units]],"Good",IF(Clean_ProductionData[[#This Row],[Units Produced]]&gt;=Clean_ProductionData[[#This Row],[Standard Units]]*0.9,"Needs Monitoring","Low Production"))</f>
        <v>Good</v>
      </c>
      <c r="N17" s="4">
        <f>Clean_ProductionData[[#This Row],[Defective Units]]/Clean_ProductionData[[#This Row],[Units Produced]]</f>
        <v>1.9090909090909092E-2</v>
      </c>
      <c r="O17" s="4">
        <f>1-Clean_ProductionData[[#This Row],[Defect Rate]]</f>
        <v>0.98090909090909095</v>
      </c>
      <c r="P17" s="4">
        <f>_xlfn.XLOOKUP(Clean_ProductionData[[#This Row],[Product]],ProductLookup[Product],ProductLookup[Target Defect Rate],0)</f>
        <v>0.02</v>
      </c>
      <c r="Q17" s="4" t="str">
        <f>IF(Clean_ProductionData[[#This Row],[Defect Rate]]&lt;=Clean_ProductionData[[#This Row],[Target Defect Rate]],"Within Target","Above Target")</f>
        <v>Within Target</v>
      </c>
    </row>
    <row r="18" spans="1:17">
      <c r="A18" s="1">
        <v>46268</v>
      </c>
      <c r="B18" s="3" t="s">
        <v>9</v>
      </c>
      <c r="C18" s="3" t="s">
        <v>10</v>
      </c>
      <c r="D18" s="3" t="s">
        <v>11</v>
      </c>
      <c r="E18">
        <v>1140</v>
      </c>
      <c r="F18">
        <v>18</v>
      </c>
      <c r="G18">
        <v>6</v>
      </c>
      <c r="H18" s="3" t="s">
        <v>12</v>
      </c>
      <c r="I18" s="3" t="s">
        <v>13</v>
      </c>
      <c r="J18">
        <v>17</v>
      </c>
      <c r="K18" t="str">
        <f>_xlfn.XLOOKUP(Clean_ProductionData[[#This Row],[Product]],ProductLookup[Product],ProductLookup[Product Category],"Unknown")</f>
        <v>Sensor</v>
      </c>
      <c r="L18" s="3">
        <f>_xlfn.XLOOKUP(Clean_ProductionData[[#This Row],[Product]], ProductLookup[Product], ProductLookup[Standard Units], 0)</f>
        <v>1000</v>
      </c>
      <c r="M18" s="3" t="str">
        <f>IF(Clean_ProductionData[[#This Row],[Units Produced]]&gt;=Clean_ProductionData[[#This Row],[Standard Units]],"Good",IF(Clean_ProductionData[[#This Row],[Units Produced]]&gt;=Clean_ProductionData[[#This Row],[Standard Units]]*0.9,"Needs Monitoring","Low Production"))</f>
        <v>Good</v>
      </c>
      <c r="N18" s="4">
        <f>Clean_ProductionData[[#This Row],[Defective Units]]/Clean_ProductionData[[#This Row],[Units Produced]]</f>
        <v>1.5789473684210527E-2</v>
      </c>
      <c r="O18" s="4">
        <f>1-Clean_ProductionData[[#This Row],[Defect Rate]]</f>
        <v>0.98421052631578942</v>
      </c>
      <c r="P18" s="4">
        <f>_xlfn.XLOOKUP(Clean_ProductionData[[#This Row],[Product]],ProductLookup[Product],ProductLookup[Target Defect Rate],0)</f>
        <v>0.02</v>
      </c>
      <c r="Q18" s="4" t="str">
        <f>IF(Clean_ProductionData[[#This Row],[Defect Rate]]&lt;=Clean_ProductionData[[#This Row],[Target Defect Rate]],"Within Target","Above Target")</f>
        <v>Within Target</v>
      </c>
    </row>
    <row r="19" spans="1:17">
      <c r="A19" s="1">
        <v>46268</v>
      </c>
      <c r="B19" s="3" t="s">
        <v>22</v>
      </c>
      <c r="C19" s="3" t="s">
        <v>23</v>
      </c>
      <c r="D19" s="3" t="s">
        <v>24</v>
      </c>
      <c r="E19">
        <v>950</v>
      </c>
      <c r="F19">
        <v>9</v>
      </c>
      <c r="G19">
        <v>20</v>
      </c>
      <c r="H19" s="3" t="s">
        <v>25</v>
      </c>
      <c r="I19" s="3" t="s">
        <v>26</v>
      </c>
      <c r="J19">
        <v>18</v>
      </c>
      <c r="K19" t="str">
        <f>_xlfn.XLOOKUP(Clean_ProductionData[[#This Row],[Product]],ProductLookup[Product],ProductLookup[Product Category],"Unknown")</f>
        <v>Controller</v>
      </c>
      <c r="L19" s="3">
        <f>_xlfn.XLOOKUP(Clean_ProductionData[[#This Row],[Product]], ProductLookup[Product], ProductLookup[Standard Units], 0)</f>
        <v>900</v>
      </c>
      <c r="M19" s="3" t="str">
        <f>IF(Clean_ProductionData[[#This Row],[Units Produced]]&gt;=Clean_ProductionData[[#This Row],[Standard Units]],"Good",IF(Clean_ProductionData[[#This Row],[Units Produced]]&gt;=Clean_ProductionData[[#This Row],[Standard Units]]*0.9,"Needs Monitoring","Low Production"))</f>
        <v>Good</v>
      </c>
      <c r="N19" s="4">
        <f>Clean_ProductionData[[#This Row],[Defective Units]]/Clean_ProductionData[[#This Row],[Units Produced]]</f>
        <v>9.4736842105263164E-3</v>
      </c>
      <c r="O19" s="4">
        <f>1-Clean_ProductionData[[#This Row],[Defect Rate]]</f>
        <v>0.9905263157894737</v>
      </c>
      <c r="P19" s="4">
        <f>_xlfn.XLOOKUP(Clean_ProductionData[[#This Row],[Product]],ProductLookup[Product],ProductLookup[Target Defect Rate],0)</f>
        <v>1.4999999999999999E-2</v>
      </c>
      <c r="Q19" s="4" t="str">
        <f>IF(Clean_ProductionData[[#This Row],[Defect Rate]]&lt;=Clean_ProductionData[[#This Row],[Target Defect Rate]],"Within Target","Above Target")</f>
        <v>Within Target</v>
      </c>
    </row>
    <row r="20" spans="1:17">
      <c r="A20" s="1">
        <v>46268</v>
      </c>
      <c r="B20" s="3" t="s">
        <v>22</v>
      </c>
      <c r="C20" s="3" t="s">
        <v>23</v>
      </c>
      <c r="D20" s="3" t="s">
        <v>24</v>
      </c>
      <c r="E20">
        <v>940</v>
      </c>
      <c r="F20">
        <v>14</v>
      </c>
      <c r="G20">
        <v>22</v>
      </c>
      <c r="H20" s="3" t="s">
        <v>30</v>
      </c>
      <c r="I20" s="3" t="s">
        <v>26</v>
      </c>
      <c r="J20">
        <v>19</v>
      </c>
      <c r="K20" t="str">
        <f>_xlfn.XLOOKUP(Clean_ProductionData[[#This Row],[Product]],ProductLookup[Product],ProductLookup[Product Category],"Unknown")</f>
        <v>Controller</v>
      </c>
      <c r="L20" s="3">
        <f>_xlfn.XLOOKUP(Clean_ProductionData[[#This Row],[Product]], ProductLookup[Product], ProductLookup[Standard Units], 0)</f>
        <v>900</v>
      </c>
      <c r="M20" s="3" t="str">
        <f>IF(Clean_ProductionData[[#This Row],[Units Produced]]&gt;=Clean_ProductionData[[#This Row],[Standard Units]],"Good",IF(Clean_ProductionData[[#This Row],[Units Produced]]&gt;=Clean_ProductionData[[#This Row],[Standard Units]]*0.9,"Needs Monitoring","Low Production"))</f>
        <v>Good</v>
      </c>
      <c r="N20" s="4">
        <f>Clean_ProductionData[[#This Row],[Defective Units]]/Clean_ProductionData[[#This Row],[Units Produced]]</f>
        <v>1.4893617021276596E-2</v>
      </c>
      <c r="O20" s="4">
        <f>1-Clean_ProductionData[[#This Row],[Defect Rate]]</f>
        <v>0.98510638297872344</v>
      </c>
      <c r="P20" s="4">
        <f>_xlfn.XLOOKUP(Clean_ProductionData[[#This Row],[Product]],ProductLookup[Product],ProductLookup[Target Defect Rate],0)</f>
        <v>1.4999999999999999E-2</v>
      </c>
      <c r="Q20" s="4" t="str">
        <f>IF(Clean_ProductionData[[#This Row],[Defect Rate]]&lt;=Clean_ProductionData[[#This Row],[Target Defect Rate]],"Within Target","Above Target")</f>
        <v>Within Target</v>
      </c>
    </row>
    <row r="21" spans="1:17">
      <c r="A21" s="1">
        <v>46268</v>
      </c>
      <c r="B21" s="3" t="s">
        <v>22</v>
      </c>
      <c r="C21" s="3" t="s">
        <v>23</v>
      </c>
      <c r="D21" s="3" t="s">
        <v>24</v>
      </c>
      <c r="E21">
        <v>960</v>
      </c>
      <c r="F21">
        <v>10</v>
      </c>
      <c r="G21">
        <v>19</v>
      </c>
      <c r="H21" s="3" t="s">
        <v>25</v>
      </c>
      <c r="I21" s="3" t="s">
        <v>26</v>
      </c>
      <c r="J21">
        <v>20</v>
      </c>
      <c r="K21" t="str">
        <f>_xlfn.XLOOKUP(Clean_ProductionData[[#This Row],[Product]],ProductLookup[Product],ProductLookup[Product Category],"Unknown")</f>
        <v>Controller</v>
      </c>
      <c r="L21" s="3">
        <f>_xlfn.XLOOKUP(Clean_ProductionData[[#This Row],[Product]], ProductLookup[Product], ProductLookup[Standard Units], 0)</f>
        <v>900</v>
      </c>
      <c r="M21" s="3" t="str">
        <f>IF(Clean_ProductionData[[#This Row],[Units Produced]]&gt;=Clean_ProductionData[[#This Row],[Standard Units]],"Good",IF(Clean_ProductionData[[#This Row],[Units Produced]]&gt;=Clean_ProductionData[[#This Row],[Standard Units]]*0.9,"Needs Monitoring","Low Production"))</f>
        <v>Good</v>
      </c>
      <c r="N21" s="4">
        <f>Clean_ProductionData[[#This Row],[Defective Units]]/Clean_ProductionData[[#This Row],[Units Produced]]</f>
        <v>1.0416666666666666E-2</v>
      </c>
      <c r="O21" s="4">
        <f>1-Clean_ProductionData[[#This Row],[Defect Rate]]</f>
        <v>0.98958333333333337</v>
      </c>
      <c r="P21" s="4">
        <f>_xlfn.XLOOKUP(Clean_ProductionData[[#This Row],[Product]],ProductLookup[Product],ProductLookup[Target Defect Rate],0)</f>
        <v>1.4999999999999999E-2</v>
      </c>
      <c r="Q21" s="4" t="str">
        <f>IF(Clean_ProductionData[[#This Row],[Defect Rate]]&lt;=Clean_ProductionData[[#This Row],[Target Defect Rate]],"Within Target","Above Target")</f>
        <v>Within Target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90E225D-BD77-4989-8F8F-24A3347488E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Lookup</vt:lpstr>
      <vt:lpstr>Analysis</vt:lpstr>
      <vt:lpstr>Clean_Data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 Reformado</dc:creator>
  <cp:lastModifiedBy>Loren Reformado</cp:lastModifiedBy>
  <dcterms:created xsi:type="dcterms:W3CDTF">2026-09-01T02:29:55Z</dcterms:created>
  <dcterms:modified xsi:type="dcterms:W3CDTF">2026-09-01T08:29:20Z</dcterms:modified>
</cp:coreProperties>
</file>